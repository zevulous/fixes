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isk Index" sheetId="2" state="visible" r:id="rId4"/>
    <sheet name="Buildout Disproportion" sheetId="3" state="visible" r:id="rId5"/>
    <sheet name="Event Log" sheetId="4" state="visible" r:id="rId6"/>
    <sheet name="Sourc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<sst xmlns="http://schemas.openxmlformats.org/spreadsheetml/2006/main" count="275" uniqueCount="239">
  <si>
    <t xml:space="preserve">AI-COMPUTE DIVERSION — DATA-DERIVED RISK MODEL (CHINA NEXUS)</t>
  </si>
  <si>
    <t xml:space="preserve">Companion quantitative model to the Indicators &amp; Warning memo · Focus: Southeast Asia &amp; Oceania · As of 21 June 2026</t>
  </si>
  <si>
    <t xml:space="preserve">WHAT THIS IS — AND IS NOT</t>
  </si>
  <si>
    <t xml:space="preserve">This is a TRANSPARENT, STRUCTURED SCORING MODEL, not a statistical prediction from a proprietary dataset. There is no live feed of customs records or GPU-import volumes behind it. Every indicator score is an explicit analytic estimate derived from the public reporting cited in the 'Sources' tab (or labelled as an approximation). The value is not the absolute numbers; it is (a) the RELATIVE ordering, (b) the AUDITABILITY of every assumption, and (c) the SENSITIVITY view showing which factors drive the result.</t>
  </si>
  <si>
    <t xml:space="preserve">All named-party allegations referenced anywhere in this workbook are UNPROVEN and drawn from public reporting / charging documents; several parties deny wrongdoing. This model estimates RISK and LIKELIHOOD-OF-SURFACING, not culpability.</t>
  </si>
  <si>
    <t xml:space="preserve">HOW TO USE IT</t>
  </si>
  <si>
    <t xml:space="preserve">1) 'Risk Index' tab — change any score (0–5, yellow cells) or any indicator weight (yellow cells, must total 100%) and the Composite, Exposure, Salience, Latent-Gap and Rank recompute automatically. Heat-map colouring updates on recalculation.</t>
  </si>
  <si>
    <t xml:space="preserve">2) 'Buildout Disproportion' tab — drop your own GDP / data-centre MW / capex / Chinese-linked-share figures into the yellow cells to replace the rough placeholders; intensity ratios and the anomaly flag recompute. THIS is where real customs/import or capacity data sharpens the model most.</t>
  </si>
  <si>
    <t xml:space="preserve">3) 'Event Log' tab — the public enforcement/event record (real, dated, sourced). Use it as a base rate and trend line.</t>
  </si>
  <si>
    <t xml:space="preserve">THE TWO AXES (and why the model splits them)</t>
  </si>
  <si>
    <t xml:space="preserve">EXPOSURE / OPPORTUNITY (avg of indicators 1,2,3,4,5,8) = how structurally attractive/available a jurisdiction is as a diversion or indirect-access locus.</t>
  </si>
  <si>
    <t xml:space="preserve">SALIENCE / IMMINENCE (avg of indicators 6,7) = how likely activity there is to SURFACE as a public story within 12 months (active cases + U.S. attention).</t>
  </si>
  <si>
    <t xml:space="preserve">LATENT GAP = Exposure − Salience. A LARGE POSITIVE GAP among HIGH-EXPOSURE jurisdictions = 'under-watched' = the most likely source of the next UNANTICIPATED story. A negative gap = already fully watched; the next story there will be an EXPECTED escalation.</t>
  </si>
  <si>
    <t xml:space="preserve">INDICATOR DEFINITIONS (score 0 = negligible, 5 = severe / highest)</t>
  </si>
  <si>
    <t xml:space="preserve">   • 1. HW/Capacity scale — Volume of advanced AI hardware imported / data-centre capacity in place or near-term — more silicon = more diversion surface.</t>
  </si>
  <si>
    <t xml:space="preserve">   • 2. Capacity–demand gap — Degree to which buildout/imports exceed plausible DOMESTIC AI demand (over-build oriented toward serving others).</t>
  </si>
  <si>
    <t xml:space="preserve">   • 3. Chinese DC presence — Scale of Chinese ownership / commercial presence in the local data-centre &amp; cloud sector.</t>
  </si>
  <si>
    <t xml:space="preserve">   • 4. Ownership opacity — Weakness of beneficial-ownership disclosure; SEZ permissiveness; ease of obscuring ultimate control.</t>
  </si>
  <si>
    <t xml:space="preserve">   • 5. Cloud/neocloud surface — Maturity of GPU-as-a-service / neocloud / colocation that can sell REMOTE access to restricted compute.</t>
  </si>
  <si>
    <t xml:space="preserve">   • 6. Active cases/incidents — Existing investigations, arrests, indictments, or credible reporting already touching the jurisdiction.</t>
  </si>
  <si>
    <t xml:space="preserve">   • 7. U.S. attention — Degree to which the jurisdiction is named/targeted in U.S. rules, draft restrictions, Congressional letters.</t>
  </si>
  <si>
    <t xml:space="preserve">   • 8. Transship/logistics — Re-export hub characteristics: ports, submarine-cable landings, free-trade-zone connectivity enabling onward movement.</t>
  </si>
  <si>
    <t xml:space="preserve">DEFAULT WEIGHTS &amp; RATIONALE</t>
  </si>
  <si>
    <t xml:space="preserve">Active cases (18%) and U.S. attention (10%) are weighted toward 'will it surface in 12 months'. Scale, capacity–demand gap and Chinese presence (15% each) capture structural exposure. Opacity (12%) and cloud surface (10%) capture the access vector. Logistics (5%) is a minor modifier. Change them to fit your own priors — the ordering of Thailand vs Singapore in particular is weight-sensitive (see memo).</t>
  </si>
  <si>
    <t xml:space="preserve">KEY DATA-DERIVED FINDING</t>
  </si>
  <si>
    <t xml:space="preserve">Enforcement SALIENCE lags structural EXPOSURE, and the gap is widest — among high-exposure jurisdictions — for THAILAND and INDONESIA. Malaysia and Singapore sit in the fully-watched 'hot' quadrant (next EXPECTED escalation). Thailand's Eastern Economic Corridor and Indonesia's Batam/Nongsa sit in the high-exposure / lower-salience 'SLEEPER' quadrant — the most probable source of the next UNANTICIPATED story. Watch the exposure–salience gap, not just the headline rank.</t>
  </si>
  <si>
    <t xml:space="preserve">COMPOSITE RISK INDEX — likelihood of featuring in a major AI-compute enforcement action / investigation / exposé within ~12 months</t>
  </si>
  <si>
    <t xml:space="preserve">Yellow cells are EDITABLE inputs (scores 0–5; weights must total 100%). Composite, Exposure, Salience, Gap and Rank are formula-driven. Higher = higher risk.</t>
  </si>
  <si>
    <t xml:space="preserve">Jurisdiction</t>
  </si>
  <si>
    <t xml:space="preserve">1. HW/Capacity
scale</t>
  </si>
  <si>
    <t xml:space="preserve">2. Capacity–
demand gap</t>
  </si>
  <si>
    <t xml:space="preserve">3. Chinese DC
presence</t>
  </si>
  <si>
    <t xml:space="preserve">4. Ownership
opacity</t>
  </si>
  <si>
    <t xml:space="preserve">5. Cloud/neocloud
surface</t>
  </si>
  <si>
    <t xml:space="preserve">6. Active cases/
incidents</t>
  </si>
  <si>
    <t xml:space="preserve">7. U.S.
attention</t>
  </si>
  <si>
    <t xml:space="preserve">8. Transship/
logistics</t>
  </si>
  <si>
    <t xml:space="preserve">Exposure
(0–5)</t>
  </si>
  <si>
    <t xml:space="preserve">Salience
(0–5)</t>
  </si>
  <si>
    <t xml:space="preserve">COMPOSITE
(0–100)</t>
  </si>
  <si>
    <t xml:space="preserve">Latent
Gap</t>
  </si>
  <si>
    <t xml:space="preserve">Rank</t>
  </si>
  <si>
    <t xml:space="preserve">Weights (Σ=100%)</t>
  </si>
  <si>
    <t xml:space="preserve">← must=100%</t>
  </si>
  <si>
    <t xml:space="preserve">Malaysia</t>
  </si>
  <si>
    <t xml:space="preserve">Singapore</t>
  </si>
  <si>
    <t xml:space="preserve">Thailand</t>
  </si>
  <si>
    <t xml:space="preserve">Indonesia</t>
  </si>
  <si>
    <t xml:space="preserve">Vietnam</t>
  </si>
  <si>
    <t xml:space="preserve">Philippines</t>
  </si>
  <si>
    <t xml:space="preserve">Australia</t>
  </si>
  <si>
    <t xml:space="preserve">Pacific Is. (PNG/Fiji)</t>
  </si>
  <si>
    <t xml:space="preserve">Reading the Gap column: positive (red) = under-watched relative to exposure; negative (blue) = already fully watched. Sleeper risk = HIGH Exposure (K) + POSITIVE Gap (N).</t>
  </si>
  <si>
    <t xml:space="preserve">Note: Singapore (#2/#3) and Thailand sit in a near dead-heat on the Composite; their order flips depending on whether 'active cases' or 'structural exposure' is weighted more heavily.</t>
  </si>
  <si>
    <t xml:space="preserve">BUILDOUT DISPROPORTION — buildout intensity normalised to economy size, flagged where also Chinese-linked &amp; export-oriented</t>
  </si>
  <si>
    <t xml:space="preserve">YELLOW cells are rough public/estimated inputs (figures mix LIVE and PIPELINE capacity and are order-of-magnitude). Replace with your own data; ratios &amp; flag recompute.</t>
  </si>
  <si>
    <t xml:space="preserve">GDP ($bn, approx)</t>
  </si>
  <si>
    <t xml:space="preserve">DC capacity (MW, live+near-term, approx)</t>
  </si>
  <si>
    <t xml:space="preserve">DC capex pipeline ($bn, approx)</t>
  </si>
  <si>
    <t xml:space="preserve">Chinese-linked share (0–5)</t>
  </si>
  <si>
    <t xml:space="preserve">Export-orientation (0–5)</t>
  </si>
  <si>
    <t xml:space="preserve">Buildout intensity (MW / $100bn GDP)</t>
  </si>
  <si>
    <t xml:space="preserve">Capex intensity (% GDP)</t>
  </si>
  <si>
    <t xml:space="preserve">Anomaly flag</t>
  </si>
  <si>
    <t xml:space="preserve">Thresholds (editable)</t>
  </si>
  <si>
    <t xml:space="preserve">Chinese share ≥</t>
  </si>
  <si>
    <t xml:space="preserve">Export orient ≥</t>
  </si>
  <si>
    <t xml:space="preserve">Intensity ≥ (median)</t>
  </si>
  <si>
    <t xml:space="preserve">On buildout-intensity × Chinese-linkage × export-orientation, Malaysia and Thailand flag as the clearest anomalies; Singapore &amp; Indonesia register as 'Watch' (one criterion short).</t>
  </si>
  <si>
    <t xml:space="preserve">Capacity MW figures are deliberately rough and mix live + pipeline; treat as placeholders. The model's job is to ingest YOUR hardened figures here.</t>
  </si>
  <si>
    <t xml:space="preserve">ENFORCEMENT &amp; EVENT LOG — public record (China-nexus AI-compute diversion / access). Real, dated, sourced. Use as base rate &amp; trend.</t>
  </si>
  <si>
    <t xml:space="preserve">All cases are as reported; charges are allegations and unproven. 'Value' = reported amount where available.</t>
  </si>
  <si>
    <t xml:space="preserve">Date</t>
  </si>
  <si>
    <t xml:space="preserve">Jurisdiction(s)</t>
  </si>
  <si>
    <t xml:space="preserve">Case / Actor</t>
  </si>
  <si>
    <t xml:space="preserve">Type</t>
  </si>
  <si>
    <t xml:space="preserve">Reported value</t>
  </si>
  <si>
    <t xml:space="preserve">Status</t>
  </si>
  <si>
    <t xml:space="preserve">Source (see Sources tab)</t>
  </si>
  <si>
    <t xml:space="preserve">2024 (rep.)</t>
  </si>
  <si>
    <t xml:space="preserve">US→MY/SG→CN</t>
  </si>
  <si>
    <t xml:space="preserve">ALX Solutions</t>
  </si>
  <si>
    <t xml:space="preserve">Physical smuggling / false end-use</t>
  </si>
  <si>
    <t xml:space="preserve">$28.4m+ invoice</t>
  </si>
  <si>
    <t xml:space="preserve">Reported / probed</t>
  </si>
  <si>
    <t xml:space="preserve">AI Magazine; court docs</t>
  </si>
  <si>
    <t xml:space="preserve">Oct 2024–Jan 2025</t>
  </si>
  <si>
    <t xml:space="preserve">US(AL)→MY/TH→CN</t>
  </si>
  <si>
    <t xml:space="preserve">Alabama A100 network</t>
  </si>
  <si>
    <t xml:space="preserve">Physical smuggling</t>
  </si>
  <si>
    <t xml:space="preserve">400× A100 (+seizures)</t>
  </si>
  <si>
    <t xml:space="preserve">Indicted</t>
  </si>
  <si>
    <t xml:space="preserve">The Economy (Dec 2025)</t>
  </si>
  <si>
    <t xml:space="preserve">Feb 2025</t>
  </si>
  <si>
    <t xml:space="preserve">Aperia/Dell case (Woon, Wei)</t>
  </si>
  <si>
    <t xml:space="preserve">Fraud / false end-user</t>
  </si>
  <si>
    <t xml:space="preserve">servers (Dell/SMCI)</t>
  </si>
  <si>
    <t xml:space="preserve">Charged; ongoing</t>
  </si>
  <si>
    <t xml:space="preserve">CNBC; SCMP</t>
  </si>
  <si>
    <t xml:space="preserve">Aug 2025 (rep.)</t>
  </si>
  <si>
    <t xml:space="preserve">US/SG/MY</t>
  </si>
  <si>
    <t xml:space="preserve">ALX Solutions arrests</t>
  </si>
  <si>
    <t xml:space="preserve">H100/RTX4090</t>
  </si>
  <si>
    <t xml:space="preserve">Arrests</t>
  </si>
  <si>
    <t xml:space="preserve">AI Magazine</t>
  </si>
  <si>
    <t xml:space="preserve">Jul 2025</t>
  </si>
  <si>
    <t xml:space="preserve">Chip-transfer permit regime</t>
  </si>
  <si>
    <t xml:space="preserve">Policy (controls)</t>
  </si>
  <si>
    <t xml:space="preserve">n/a</t>
  </si>
  <si>
    <t xml:space="preserve">In force</t>
  </si>
  <si>
    <t xml:space="preserve">DCD; CNBC</t>
  </si>
  <si>
    <t xml:space="preserve">Oct 2025</t>
  </si>
  <si>
    <t xml:space="preserve">SG/MY/ID/CN</t>
  </si>
  <si>
    <t xml:space="preserve">Megaspeed (NYT report)</t>
  </si>
  <si>
    <t xml:space="preserve">Neocloud remote access / poss. transship</t>
  </si>
  <si>
    <t xml:space="preserve">~$2bn (NYT)</t>
  </si>
  <si>
    <t xml:space="preserve">Investigated</t>
  </si>
  <si>
    <t xml:space="preserve">NYT; CNBC</t>
  </si>
  <si>
    <t xml:space="preserve">Nov 2025</t>
  </si>
  <si>
    <t xml:space="preserve">US(FL)→CN</t>
  </si>
  <si>
    <t xml:space="preserve">Florida front company</t>
  </si>
  <si>
    <t xml:space="preserve">$4m wire</t>
  </si>
  <si>
    <t xml:space="preserve">Charged</t>
  </si>
  <si>
    <t xml:space="preserve">DOJ via FDD</t>
  </si>
  <si>
    <t xml:space="preserve">Dec 2025</t>
  </si>
  <si>
    <t xml:space="preserve">SE Asia/CN/HK</t>
  </si>
  <si>
    <t xml:space="preserve">Operation Gatekeeper</t>
  </si>
  <si>
    <t xml:space="preserve">Physical smuggling (network)</t>
  </si>
  <si>
    <t xml:space="preserve">≥$160m</t>
  </si>
  <si>
    <t xml:space="preserve">Indicted (multi)</t>
  </si>
  <si>
    <t xml:space="preserve">DOJ; MoFo</t>
  </si>
  <si>
    <t xml:space="preserve">Megaspeed (Bloomberg/Reuters)</t>
  </si>
  <si>
    <t xml:space="preserve">Neocloud / ownership</t>
  </si>
  <si>
    <t xml:space="preserve">$4.6bn / 136k GPUs</t>
  </si>
  <si>
    <t xml:space="preserve">Investigated; Cotton referral</t>
  </si>
  <si>
    <t xml:space="preserve">Bloomberg; Reuters</t>
  </si>
  <si>
    <t xml:space="preserve">Jan 2026 (~12th)</t>
  </si>
  <si>
    <t xml:space="preserve">US (federal)</t>
  </si>
  <si>
    <t xml:space="preserve">Remote Access Security Act</t>
  </si>
  <si>
    <t xml:space="preserve">Policy (House 369–22)</t>
  </si>
  <si>
    <t xml:space="preserve">Passed House</t>
  </si>
  <si>
    <t xml:space="preserve">Tom's Hardware; eeNews</t>
  </si>
  <si>
    <t xml:space="preserve">13 Jan 2026</t>
  </si>
  <si>
    <t xml:space="preserve">BIS final rule (H200)</t>
  </si>
  <si>
    <t xml:space="preserve">Policy (case-by-case)</t>
  </si>
  <si>
    <t xml:space="preserve">Effective</t>
  </si>
  <si>
    <t xml:space="preserve">MoFo; IST</t>
  </si>
  <si>
    <t xml:space="preserve">Feb 2026</t>
  </si>
  <si>
    <t xml:space="preserve">US/CN</t>
  </si>
  <si>
    <t xml:space="preserve">Applied Materials settlement</t>
  </si>
  <si>
    <t xml:space="preserve">BIS settlement</t>
  </si>
  <si>
    <t xml:space="preserve">$252m</t>
  </si>
  <si>
    <t xml:space="preserve">Settled</t>
  </si>
  <si>
    <t xml:space="preserve">East Asia Forum</t>
  </si>
  <si>
    <t xml:space="preserve">19 Mar 2026</t>
  </si>
  <si>
    <t xml:space="preserve">US/TW/MY/SG→CN</t>
  </si>
  <si>
    <t xml:space="preserve">Super Micro / Liaw</t>
  </si>
  <si>
    <t xml:space="preserve">Physical smuggling (servers)</t>
  </si>
  <si>
    <t xml:space="preserve">$2.5bn</t>
  </si>
  <si>
    <t xml:space="preserve">DOJ; FDD; BISI</t>
  </si>
  <si>
    <t xml:space="preserve">Mar 2026</t>
  </si>
  <si>
    <t xml:space="preserve">US/TH→CN</t>
  </si>
  <si>
    <t xml:space="preserve">Thailand front company</t>
  </si>
  <si>
    <t xml:space="preserve">controlled chips</t>
  </si>
  <si>
    <t xml:space="preserve">Alvarez &amp; Marsal</t>
  </si>
  <si>
    <t xml:space="preserve">22–25 Mar 2026</t>
  </si>
  <si>
    <t xml:space="preserve">US/HK→CN</t>
  </si>
  <si>
    <t xml:space="preserve">Zheng / Kelly / English</t>
  </si>
  <si>
    <t xml:space="preserve">750 servers / ~$170m</t>
  </si>
  <si>
    <t xml:space="preserve">Arrested</t>
  </si>
  <si>
    <t xml:space="preserve">Fortune; BISI</t>
  </si>
  <si>
    <t xml:space="preserve">26 Mar 2026</t>
  </si>
  <si>
    <t xml:space="preserve">Chip Security Act</t>
  </si>
  <si>
    <t xml:space="preserve">Policy (HFAC 42–0)</t>
  </si>
  <si>
    <t xml:space="preserve">Advanced</t>
  </si>
  <si>
    <t xml:space="preserve">A&amp;M; BISI</t>
  </si>
  <si>
    <t xml:space="preserve">Apr 2026</t>
  </si>
  <si>
    <t xml:space="preserve">Aperia case — Lim charged</t>
  </si>
  <si>
    <t xml:space="preserve">Dell servers</t>
  </si>
  <si>
    <t xml:space="preserve">Charged; PTC 22 May</t>
  </si>
  <si>
    <t xml:space="preserve">CNBC</t>
  </si>
  <si>
    <t xml:space="preserve">Bridge DC removes Megaspeed</t>
  </si>
  <si>
    <t xml:space="preserve">Compliance (tenant removal)</t>
  </si>
  <si>
    <t xml:space="preserve">~65 MW reallocated</t>
  </si>
  <si>
    <t xml:space="preserve">Actioned</t>
  </si>
  <si>
    <t xml:space="preserve">Tom's Hardware; Bloomberg</t>
  </si>
  <si>
    <t xml:space="preserve">31 May 2026</t>
  </si>
  <si>
    <t xml:space="preserve">BIS ownership-based licensing</t>
  </si>
  <si>
    <t xml:space="preserve">Policy (China/Macau parent)</t>
  </si>
  <si>
    <t xml:space="preserve">Reported guidance</t>
  </si>
  <si>
    <t xml:space="preserve">indoneo.com (verify primary)</t>
  </si>
  <si>
    <t xml:space="preserve">SOURCES &amp; RELIABILITY NOTES (open-source)</t>
  </si>
  <si>
    <t xml:space="preserve">Tier-1 = major wire/newspaper or government/court record; Tier-2 = trade/industry/secondary outlet (corroborate before operational use).</t>
  </si>
  <si>
    <t xml:space="preserve">#</t>
  </si>
  <si>
    <t xml:space="preserve">Source / outlet</t>
  </si>
  <si>
    <t xml:space="preserve">Supports</t>
  </si>
  <si>
    <t xml:space="preserve">Reliability</t>
  </si>
  <si>
    <t xml:space="preserve">New York Times — Megaspeed investigation</t>
  </si>
  <si>
    <t xml:space="preserve">Megaspeed neocloud/remote-access, Aivres/Inspur linkage, sealed-crate inspection</t>
  </si>
  <si>
    <t xml:space="preserve">Tier-1</t>
  </si>
  <si>
    <t xml:space="preserve">Bloomberg / Reuters — Megaspeed probe</t>
  </si>
  <si>
    <t xml:space="preserve">Customs data $4.6bn/136k GPUs; Singapore Police; Cotton referral</t>
  </si>
  <si>
    <t xml:space="preserve">CNBC — Singapore Aperia/Dell charges</t>
  </si>
  <si>
    <t xml:space="preserve">Feb 2025; Apr 2026</t>
  </si>
  <si>
    <t xml:space="preserve">Aperia/Dell prosecution; servers onward to Malaysia</t>
  </si>
  <si>
    <t xml:space="preserve">DOJ via FDD — Super Micro / Gatekeeper / Florida</t>
  </si>
  <si>
    <t xml:space="preserve">Mar 2026; Dec 2025; Nov 2025</t>
  </si>
  <si>
    <t xml:space="preserve">Indictments &amp; values</t>
  </si>
  <si>
    <t xml:space="preserve">Tier-1 (gov/court)</t>
  </si>
  <si>
    <t xml:space="preserve">Fortune — encrypted-texts smuggling feature</t>
  </si>
  <si>
    <t xml:space="preserve">May 2026</t>
  </si>
  <si>
    <t xml:space="preserve">Zheng/Kelly/English; enforcement posture</t>
  </si>
  <si>
    <t xml:space="preserve">Tom's Hardware (citing WSJ / The Information)</t>
  </si>
  <si>
    <t xml:space="preserve">Dec 2024–Apr 2026</t>
  </si>
  <si>
    <t xml:space="preserve">ByteDance cloud GPU strategy; INF Tech/Indonesia GB200; Aolani; Bridge/Megaspeed</t>
  </si>
  <si>
    <t xml:space="preserve">Tier-2 (cites Tier-1)</t>
  </si>
  <si>
    <t xml:space="preserve">eeNews Europe / Asia Times — RASA</t>
  </si>
  <si>
    <t xml:space="preserve">Jan–Mar 2026</t>
  </si>
  <si>
    <t xml:space="preserve">Remote Access Security Act 369–22; cloud loophole; Singapore billing share</t>
  </si>
  <si>
    <t xml:space="preserve">Tier-2</t>
  </si>
  <si>
    <t xml:space="preserve">Morrison Foerster / Greenberg Traurig / Alvarez &amp; Marsal</t>
  </si>
  <si>
    <t xml:space="preserve">Dec 2025–Apr 2026</t>
  </si>
  <si>
    <t xml:space="preserve">Policy timeline; BIS rules; Tier framework; Thailand front co.</t>
  </si>
  <si>
    <t xml:space="preserve">Tier-2 (law-firm)</t>
  </si>
  <si>
    <t xml:space="preserve">East Asia Forum / Chatham House / ASPI / FDD Action</t>
  </si>
  <si>
    <t xml:space="preserve">Mar–Apr 2026</t>
  </si>
  <si>
    <t xml:space="preserve">Enforcement strategy; Applied Materials $252m; China token share; Australia</t>
  </si>
  <si>
    <t xml:space="preserve">Tier-2 (think-tank)</t>
  </si>
  <si>
    <t xml:space="preserve">DigitalInAsia / DCD / Cryptopolitan / Lightreading / Mordor</t>
  </si>
  <si>
    <t xml:space="preserve">2025–2026</t>
  </si>
  <si>
    <t xml:space="preserve">SE Asia DC buildout; Thailand EEC Chinese projects; Indonesia Batam/Nongsa</t>
  </si>
  <si>
    <t xml:space="preserve">Tier-2 (industry)</t>
  </si>
  <si>
    <t xml:space="preserve">SemiAnalysis</t>
  </si>
  <si>
    <t xml:space="preserve">2025</t>
  </si>
  <si>
    <t xml:space="preserve">~3 GW Malaysia buildout (DC-by-DC tracking); diffusion-rule analysis</t>
  </si>
  <si>
    <t xml:space="preserve">Tier-2 (specialist)</t>
  </si>
  <si>
    <t xml:space="preserve">indoneo.com — 31 May 2026 BIS ownership guidance</t>
  </si>
  <si>
    <t xml:space="preserve">Ownership-based licensing test</t>
  </si>
  <si>
    <t xml:space="preserve">Tier-2 — VERIFY vs Federal Register/BIS</t>
  </si>
</sst>
</file>

<file path=xl/styles.xml><?xml version="1.0" encoding="utf-8"?>
<styleSheet xmlns="http://schemas.openxmlformats.org/spreadsheetml/2006/main">
  <numFmts count="7">
    <numFmt numFmtId="164" formatCode="General"/>
    <numFmt numFmtId="165" formatCode="0%"/>
    <numFmt numFmtId="166" formatCode="0.00"/>
    <numFmt numFmtId="167" formatCode="0.0"/>
    <numFmt numFmtId="168" formatCode="General"/>
    <numFmt numFmtId="169" formatCode="#,##0"/>
    <numFmt numFmtId="170" formatCode="0.0%"/>
  </numFmts>
  <fonts count="27">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color rgb="FF808080"/>
      <name val="Arial"/>
      <family val="0"/>
      <charset val="1"/>
    </font>
    <font>
      <sz val="10"/>
      <color rgb="FF000000"/>
      <name val="Arial"/>
      <family val="0"/>
      <charset val="1"/>
    </font>
    <font>
      <b val="true"/>
      <sz val="11"/>
      <color rgb="FFC00000"/>
      <name val="Arial"/>
      <family val="0"/>
      <charset val="1"/>
    </font>
    <font>
      <sz val="10"/>
      <color rgb="FFC00000"/>
      <name val="Arial"/>
      <family val="0"/>
      <charset val="1"/>
    </font>
    <font>
      <b val="true"/>
      <sz val="11"/>
      <color rgb="FF1F3864"/>
      <name val="Arial"/>
      <family val="0"/>
      <charset val="1"/>
    </font>
    <font>
      <b val="true"/>
      <sz val="10"/>
      <color rgb="FFC00000"/>
      <name val="Arial"/>
      <family val="0"/>
      <charset val="1"/>
    </font>
    <font>
      <b val="true"/>
      <sz val="12"/>
      <color rgb="FF1F3864"/>
      <name val="Arial"/>
      <family val="0"/>
      <charset val="1"/>
    </font>
    <font>
      <sz val="9"/>
      <color rgb="FF808080"/>
      <name val="Arial"/>
      <family val="0"/>
      <charset val="1"/>
    </font>
    <font>
      <b val="true"/>
      <sz val="10"/>
      <color rgb="FFFFFFFF"/>
      <name val="Arial"/>
      <family val="0"/>
      <charset val="1"/>
    </font>
    <font>
      <b val="true"/>
      <sz val="9"/>
      <color rgb="FFFFFFFF"/>
      <name val="Arial"/>
      <family val="0"/>
      <charset val="1"/>
    </font>
    <font>
      <b val="true"/>
      <sz val="9"/>
      <color rgb="FFC00000"/>
      <name val="Arial"/>
      <family val="0"/>
      <charset val="1"/>
    </font>
    <font>
      <b val="true"/>
      <sz val="9"/>
      <color rgb="FF0000FF"/>
      <name val="Arial"/>
      <family val="0"/>
      <charset val="1"/>
    </font>
    <font>
      <b val="true"/>
      <sz val="9"/>
      <color rgb="FF000000"/>
      <name val="Arial"/>
      <family val="0"/>
      <charset val="1"/>
    </font>
    <font>
      <sz val="8"/>
      <color rgb="FFC00000"/>
      <name val="Arial"/>
      <family val="0"/>
      <charset val="1"/>
    </font>
    <font>
      <b val="true"/>
      <sz val="10"/>
      <color rgb="FF000000"/>
      <name val="Arial"/>
      <family val="0"/>
      <charset val="1"/>
    </font>
    <font>
      <sz val="10"/>
      <color rgb="FF0000FF"/>
      <name val="Arial"/>
      <family val="0"/>
      <charset val="1"/>
    </font>
    <font>
      <sz val="9"/>
      <color rgb="FF595959"/>
      <name val="Arial"/>
      <family val="0"/>
      <charset val="1"/>
    </font>
    <font>
      <b val="true"/>
      <sz val="18"/>
      <color rgb="FF000000"/>
      <name val="Calibri"/>
      <family val="2"/>
    </font>
    <font>
      <sz val="10"/>
      <color rgb="FF000000"/>
      <name val="Calibri"/>
      <family val="2"/>
    </font>
    <font>
      <b val="true"/>
      <sz val="10"/>
      <color rgb="FF000000"/>
      <name val="Calibri"/>
      <family val="2"/>
    </font>
    <font>
      <sz val="9"/>
      <color rgb="FFC00000"/>
      <name val="Arial"/>
      <family val="0"/>
      <charset val="1"/>
    </font>
    <font>
      <sz val="9"/>
      <color rgb="FF000000"/>
      <name val="Arial"/>
      <family val="0"/>
      <charset val="1"/>
    </font>
  </fonts>
  <fills count="7">
    <fill>
      <patternFill patternType="none"/>
    </fill>
    <fill>
      <patternFill patternType="gray125"/>
    </fill>
    <fill>
      <patternFill patternType="solid">
        <fgColor rgb="FF1F3864"/>
        <bgColor rgb="FF333399"/>
      </patternFill>
    </fill>
    <fill>
      <patternFill patternType="solid">
        <fgColor rgb="FF375623"/>
        <bgColor rgb="FF595959"/>
      </patternFill>
    </fill>
    <fill>
      <patternFill patternType="solid">
        <fgColor rgb="FFFFF2CC"/>
        <bgColor rgb="FFE2EFDA"/>
      </patternFill>
    </fill>
    <fill>
      <patternFill patternType="solid">
        <fgColor rgb="FFD9E1F2"/>
        <bgColor rgb="FFD9D9D9"/>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5" fontId="16" fillId="4" borderId="1" xfId="0" applyFont="true" applyBorder="true" applyAlignment="true" applyProtection="false">
      <alignment horizontal="center" vertical="center" textRotation="0" wrapText="false" indent="0" shrinkToFit="false"/>
      <protection locked="true" hidden="false"/>
    </xf>
    <xf numFmtId="165" fontId="17" fillId="0"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5" borderId="1" xfId="0" applyFont="true" applyBorder="true" applyAlignment="true" applyProtection="false">
      <alignment horizontal="left" vertical="center" textRotation="0" wrapText="false" indent="0" shrinkToFit="false"/>
      <protection locked="true" hidden="false"/>
    </xf>
    <xf numFmtId="164" fontId="20" fillId="4"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7" fontId="19" fillId="0" borderId="1" xfId="0" applyFont="true" applyBorder="true" applyAlignment="true" applyProtection="false">
      <alignment horizontal="center" vertical="center" textRotation="0" wrapText="false" indent="0" shrinkToFit="false"/>
      <protection locked="true" hidden="false"/>
    </xf>
    <xf numFmtId="168" fontId="19" fillId="0"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19" fillId="5" borderId="1" xfId="0" applyFont="true" applyBorder="true" applyAlignment="false" applyProtection="false">
      <alignment horizontal="general" vertical="bottom" textRotation="0" wrapText="false" indent="0" shrinkToFit="false"/>
      <protection locked="true" hidden="false"/>
    </xf>
    <xf numFmtId="169" fontId="20" fillId="4" borderId="1" xfId="0" applyFont="true" applyBorder="true" applyAlignment="true" applyProtection="false">
      <alignment horizontal="center" vertical="center" textRotation="0" wrapText="false" indent="0" shrinkToFit="false"/>
      <protection locked="true" hidden="false"/>
    </xf>
    <xf numFmtId="169" fontId="6" fillId="0" borderId="1" xfId="0" applyFont="true" applyBorder="true" applyAlignment="true" applyProtection="false">
      <alignment horizontal="center" vertical="center" textRotation="0" wrapText="false" indent="0" shrinkToFit="false"/>
      <protection locked="true" hidden="false"/>
    </xf>
    <xf numFmtId="170" fontId="6" fillId="0" borderId="1"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16" fillId="4" borderId="1" xfId="0" applyFont="true" applyBorder="true" applyAlignment="true" applyProtection="false">
      <alignment horizontal="center" vertical="center" textRotation="0" wrapText="false" indent="0" shrinkToFit="false"/>
      <protection locked="true" hidden="false"/>
    </xf>
    <xf numFmtId="169" fontId="17" fillId="0" borderId="1"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26"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F81BD"/>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Composite risk score (0–100)</a:t>
            </a:r>
          </a:p>
        </c:rich>
      </c:tx>
      <c:overlay val="0"/>
      <c:spPr>
        <a:noFill/>
        <a:ln w="0">
          <a:noFill/>
        </a:ln>
      </c:spPr>
    </c:title>
    <c:autoTitleDeleted val="0"/>
    <c:plotArea>
      <c:barChart>
        <c:barDir val="bar"/>
        <c:grouping val="clustered"/>
        <c:varyColors val="0"/>
        <c:ser>
          <c:idx val="0"/>
          <c:order val="0"/>
          <c:tx>
            <c:strRef>
              <c:f>'Risk Index'!M4</c:f>
              <c:strCache>
                <c:ptCount val="1"/>
                <c:pt idx="0">
                  <c:v>COMPOSITE
(0–100)</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'Risk Index'!$A$6:$A$13</c:f>
              <c:strCache>
                <c:ptCount val="8"/>
                <c:pt idx="0">
                  <c:v>Malaysia</c:v>
                </c:pt>
                <c:pt idx="1">
                  <c:v>Singapore</c:v>
                </c:pt>
                <c:pt idx="2">
                  <c:v>Thailand</c:v>
                </c:pt>
                <c:pt idx="3">
                  <c:v>Indonesia</c:v>
                </c:pt>
                <c:pt idx="4">
                  <c:v>Vietnam</c:v>
                </c:pt>
                <c:pt idx="5">
                  <c:v>Philippines</c:v>
                </c:pt>
                <c:pt idx="6">
                  <c:v>Australia</c:v>
                </c:pt>
                <c:pt idx="7">
                  <c:v>Pacific Is. (PNG/Fiji)</c:v>
                </c:pt>
              </c:strCache>
            </c:strRef>
          </c:cat>
          <c:val>
            <c:numRef>
              <c:f>'Risk Index'!$M$5:$M$13</c:f>
              <c:numCache>
                <c:formatCode>0.0</c:formatCode>
                <c:ptCount val="9"/>
                <c:pt idx="1">
                  <c:v>94.6</c:v>
                </c:pt>
                <c:pt idx="2">
                  <c:v>78.2</c:v>
                </c:pt>
                <c:pt idx="3">
                  <c:v>78.4</c:v>
                </c:pt>
                <c:pt idx="4">
                  <c:v>69.8</c:v>
                </c:pt>
                <c:pt idx="5">
                  <c:v>46.2</c:v>
                </c:pt>
                <c:pt idx="6">
                  <c:v>40.8</c:v>
                </c:pt>
                <c:pt idx="7">
                  <c:v>34</c:v>
                </c:pt>
                <c:pt idx="8">
                  <c:v>28.2</c:v>
                </c:pt>
              </c:numCache>
            </c:numRef>
          </c:val>
        </c:ser>
        <c:gapWidth val="150"/>
        <c:overlap val="0"/>
        <c:axId val="39466043"/>
        <c:axId val="69802345"/>
      </c:barChart>
      <c:catAx>
        <c:axId val="39466043"/>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Composite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802345"/>
        <c:crosses val="autoZero"/>
        <c:auto val="1"/>
        <c:lblAlgn val="ctr"/>
        <c:lblOffset val="100"/>
        <c:noMultiLvlLbl val="0"/>
      </c:catAx>
      <c:valAx>
        <c:axId val="69802345"/>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46604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Exposure (x) vs Enforcement Salience (y) — bottom-right = SLEEPER quadrant</a:t>
            </a:r>
          </a:p>
        </c:rich>
      </c:tx>
      <c:overlay val="0"/>
      <c:spPr>
        <a:noFill/>
        <a:ln w="0">
          <a:noFill/>
        </a:ln>
      </c:spPr>
    </c:title>
    <c:autoTitleDeleted val="0"/>
    <c:plotArea>
      <c:scatterChart>
        <c:scatterStyle val="lineMarker"/>
        <c:varyColors val="0"/>
        <c:ser>
          <c:idx val="0"/>
          <c:order val="0"/>
          <c:tx>
            <c:strRef>
              <c:f>"Jurisdictions"</c:f>
              <c:strCache>
                <c:ptCount val="1"/>
                <c:pt idx="0">
                  <c:v>Jurisdictions</c:v>
                </c:pt>
              </c:strCache>
            </c:strRef>
          </c:tx>
          <c:spPr>
            <a:solidFill>
              <a:srgbClr val="ffffff"/>
            </a:solidFill>
            <a:ln w="28440">
              <a:noFill/>
            </a:ln>
          </c:spPr>
          <c:marker>
            <c:symbol val="circle"/>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'Risk Index'!$K$6:$K$13</c:f>
              <c:numCache>
                <c:formatCode>0.00</c:formatCode>
                <c:ptCount val="8"/>
                <c:pt idx="0">
                  <c:v>4.5</c:v>
                </c:pt>
                <c:pt idx="1">
                  <c:v>3.83333333333333</c:v>
                </c:pt>
                <c:pt idx="2">
                  <c:v>4.16666666666667</c:v>
                </c:pt>
                <c:pt idx="3">
                  <c:v>3.83333333333333</c:v>
                </c:pt>
                <c:pt idx="4">
                  <c:v>2.83333333333333</c:v>
                </c:pt>
                <c:pt idx="5">
                  <c:v>2.5</c:v>
                </c:pt>
                <c:pt idx="6">
                  <c:v>2</c:v>
                </c:pt>
                <c:pt idx="7">
                  <c:v>1.66666666666667</c:v>
                </c:pt>
              </c:numCache>
            </c:numRef>
          </c:xVal>
          <c:yVal>
            <c:numRef>
              <c:f>'Risk Index'!$L$6:$L$13</c:f>
              <c:numCache>
                <c:formatCode>0.00</c:formatCode>
                <c:ptCount val="8"/>
                <c:pt idx="0">
                  <c:v>5</c:v>
                </c:pt>
                <c:pt idx="1">
                  <c:v>4.5</c:v>
                </c:pt>
                <c:pt idx="2">
                  <c:v>3</c:v>
                </c:pt>
                <c:pt idx="3">
                  <c:v>2.5</c:v>
                </c:pt>
                <c:pt idx="4">
                  <c:v>1</c:v>
                </c:pt>
                <c:pt idx="5">
                  <c:v>1</c:v>
                </c:pt>
                <c:pt idx="6">
                  <c:v>1</c:v>
                </c:pt>
                <c:pt idx="7">
                  <c:v>1</c:v>
                </c:pt>
              </c:numCache>
            </c:numRef>
          </c:yVal>
          <c:smooth val="1"/>
        </c:ser>
        <c:axId val="48541681"/>
        <c:axId val="43331833"/>
      </c:scatterChart>
      <c:valAx>
        <c:axId val="48541681"/>
        <c:scaling>
          <c:orientation val="minMax"/>
          <c:max val="5"/>
          <c:min val="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Exposure / Opportunity (0–5)</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331833"/>
        <c:crosses val="autoZero"/>
        <c:crossBetween val="midCat"/>
      </c:valAx>
      <c:valAx>
        <c:axId val="43331833"/>
        <c:scaling>
          <c:orientation val="minMax"/>
          <c:max val="5"/>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Salience / Imminence (0–5)</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541681"/>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0</xdr:rowOff>
    </xdr:from>
    <xdr:to>
      <xdr:col>6</xdr:col>
      <xdr:colOff>496080</xdr:colOff>
      <xdr:row>33</xdr:row>
      <xdr:rowOff>11520</xdr:rowOff>
    </xdr:to>
    <xdr:graphicFrame>
      <xdr:nvGraphicFramePr>
        <xdr:cNvPr id="0" name="Chart 1"/>
        <xdr:cNvGraphicFramePr/>
      </xdr:nvGraphicFramePr>
      <xdr:xfrm>
        <a:off x="0" y="3476520"/>
        <a:ext cx="57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17</xdr:row>
      <xdr:rowOff>0</xdr:rowOff>
    </xdr:from>
    <xdr:to>
      <xdr:col>14</xdr:col>
      <xdr:colOff>332280</xdr:colOff>
      <xdr:row>34</xdr:row>
      <xdr:rowOff>1080</xdr:rowOff>
    </xdr:to>
    <xdr:graphicFrame>
      <xdr:nvGraphicFramePr>
        <xdr:cNvPr id="1" name="Chart 2"/>
        <xdr:cNvGraphicFramePr/>
      </xdr:nvGraphicFramePr>
      <xdr:xfrm>
        <a:off x="6039000" y="3476520"/>
        <a:ext cx="57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46.25" hidden="false" customHeight="false" outlineLevel="0" collapsed="false">
      <c r="A5" s="3" t="s">
        <v>3</v>
      </c>
    </row>
    <row r="6" customFormat="false" ht="23.85" hidden="false" customHeight="false" outlineLevel="0" collapsed="false">
      <c r="A6" s="5" t="s">
        <v>4</v>
      </c>
    </row>
    <row r="7" customFormat="false" ht="15" hidden="false" customHeight="false" outlineLevel="0" collapsed="false">
      <c r="A7" s="3"/>
    </row>
    <row r="8" customFormat="false" ht="15" hidden="false" customHeight="false" outlineLevel="0" collapsed="false">
      <c r="A8" s="6" t="s">
        <v>5</v>
      </c>
    </row>
    <row r="9" customFormat="false" ht="23.85" hidden="false" customHeight="false" outlineLevel="0" collapsed="false">
      <c r="A9" s="3" t="s">
        <v>6</v>
      </c>
    </row>
    <row r="10" customFormat="false" ht="35.0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row>
    <row r="13" customFormat="false" ht="15" hidden="false" customHeight="false" outlineLevel="0" collapsed="false">
      <c r="A13" s="6" t="s">
        <v>9</v>
      </c>
    </row>
    <row r="14" customFormat="false" ht="23.85" hidden="false" customHeight="false" outlineLevel="0" collapsed="false">
      <c r="A14" s="3" t="s">
        <v>10</v>
      </c>
    </row>
    <row r="15" customFormat="false" ht="23.85" hidden="false" customHeight="false" outlineLevel="0" collapsed="false">
      <c r="A15" s="3" t="s">
        <v>11</v>
      </c>
    </row>
    <row r="16" customFormat="false" ht="35.05" hidden="false" customHeight="false" outlineLevel="0" collapsed="false">
      <c r="A16" s="3" t="s">
        <v>12</v>
      </c>
    </row>
    <row r="17" customFormat="false" ht="15" hidden="false" customHeight="false" outlineLevel="0" collapsed="false">
      <c r="A17" s="3"/>
    </row>
    <row r="18" customFormat="false" ht="15" hidden="false" customHeight="false" outlineLevel="0" collapsed="false">
      <c r="A18" s="6" t="s">
        <v>13</v>
      </c>
    </row>
    <row r="19" customFormat="false" ht="23.85" hidden="false" customHeight="false" outlineLevel="0" collapsed="false">
      <c r="A19" s="3" t="s">
        <v>14</v>
      </c>
    </row>
    <row r="20" customFormat="false" ht="23.85" hidden="false" customHeight="false" outlineLevel="0" collapsed="false">
      <c r="A20" s="3" t="s">
        <v>15</v>
      </c>
    </row>
    <row r="21" customFormat="false" ht="15" hidden="false" customHeight="false" outlineLevel="0" collapsed="false">
      <c r="A21" s="3" t="s">
        <v>16</v>
      </c>
    </row>
    <row r="22" customFormat="false" ht="15" hidden="false" customHeight="false" outlineLevel="0" collapsed="false">
      <c r="A22" s="3" t="s">
        <v>17</v>
      </c>
    </row>
    <row r="23" customFormat="false" ht="15" hidden="false" customHeight="false" outlineLevel="0" collapsed="false">
      <c r="A23" s="3" t="s">
        <v>18</v>
      </c>
    </row>
    <row r="24" customFormat="false" ht="15" hidden="false" customHeight="false" outlineLevel="0" collapsed="false">
      <c r="A24" s="3" t="s">
        <v>19</v>
      </c>
    </row>
    <row r="25" customFormat="false" ht="15" hidden="false" customHeight="false" outlineLevel="0" collapsed="false">
      <c r="A25" s="3" t="s">
        <v>20</v>
      </c>
    </row>
    <row r="26" customFormat="false" ht="23.85" hidden="false" customHeight="false" outlineLevel="0" collapsed="false">
      <c r="A26" s="3" t="s">
        <v>21</v>
      </c>
    </row>
    <row r="27" customFormat="false" ht="15" hidden="false" customHeight="false" outlineLevel="0" collapsed="false">
      <c r="A27" s="3"/>
    </row>
    <row r="28" customFormat="false" ht="15" hidden="false" customHeight="false" outlineLevel="0" collapsed="false">
      <c r="A28" s="6" t="s">
        <v>22</v>
      </c>
    </row>
    <row r="29" customFormat="false" ht="35.05" hidden="false" customHeight="false" outlineLevel="0" collapsed="false">
      <c r="A29" s="3" t="s">
        <v>23</v>
      </c>
    </row>
    <row r="30" customFormat="false" ht="15" hidden="false" customHeight="false" outlineLevel="0" collapsed="false">
      <c r="A30" s="3"/>
    </row>
    <row r="31" customFormat="false" ht="15" hidden="false" customHeight="false" outlineLevel="0" collapsed="false">
      <c r="A31" s="4" t="s">
        <v>24</v>
      </c>
    </row>
    <row r="32" customFormat="false" ht="46.25" hidden="false" customHeight="false" outlineLevel="0" collapsed="false">
      <c r="A32" s="7"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5" min="3" style="0" width="11"/>
  </cols>
  <sheetData>
    <row r="1" customFormat="false" ht="15" hidden="false" customHeight="false" outlineLevel="0" collapsed="false">
      <c r="A1" s="8" t="s">
        <v>26</v>
      </c>
    </row>
    <row r="2" customFormat="false" ht="15" hidden="false" customHeight="false" outlineLevel="0" collapsed="false">
      <c r="A2" s="9" t="s">
        <v>27</v>
      </c>
    </row>
    <row r="4" customFormat="false" ht="33.75" hidden="false" customHeight="true" outlineLevel="0" collapsed="false">
      <c r="A4" s="10" t="s">
        <v>28</v>
      </c>
      <c r="C4" s="11" t="s">
        <v>29</v>
      </c>
      <c r="D4" s="11" t="s">
        <v>30</v>
      </c>
      <c r="E4" s="11" t="s">
        <v>31</v>
      </c>
      <c r="F4" s="11" t="s">
        <v>32</v>
      </c>
      <c r="G4" s="11" t="s">
        <v>33</v>
      </c>
      <c r="H4" s="11" t="s">
        <v>34</v>
      </c>
      <c r="I4" s="11" t="s">
        <v>35</v>
      </c>
      <c r="J4" s="11" t="s">
        <v>36</v>
      </c>
      <c r="K4" s="12" t="s">
        <v>37</v>
      </c>
      <c r="L4" s="12" t="s">
        <v>38</v>
      </c>
      <c r="M4" s="12" t="s">
        <v>39</v>
      </c>
      <c r="N4" s="12" t="s">
        <v>40</v>
      </c>
      <c r="O4" s="12" t="s">
        <v>41</v>
      </c>
    </row>
    <row r="5" customFormat="false" ht="15" hidden="false" customHeight="false" outlineLevel="0" collapsed="false">
      <c r="A5" s="13" t="s">
        <v>42</v>
      </c>
      <c r="C5" s="14" t="n">
        <v>0.15</v>
      </c>
      <c r="D5" s="14" t="n">
        <v>0.15</v>
      </c>
      <c r="E5" s="14" t="n">
        <v>0.15</v>
      </c>
      <c r="F5" s="14" t="n">
        <v>0.12</v>
      </c>
      <c r="G5" s="14" t="n">
        <v>0.1</v>
      </c>
      <c r="H5" s="14" t="n">
        <v>0.18</v>
      </c>
      <c r="I5" s="14" t="n">
        <v>0.1</v>
      </c>
      <c r="J5" s="14" t="n">
        <v>0.05</v>
      </c>
      <c r="K5" s="15" t="n">
        <f aca="false">SUM(C5:J5)</f>
        <v>1</v>
      </c>
      <c r="L5" s="16" t="s">
        <v>43</v>
      </c>
    </row>
    <row r="6" customFormat="false" ht="15" hidden="false" customHeight="false" outlineLevel="0" collapsed="false">
      <c r="A6" s="17" t="s">
        <v>44</v>
      </c>
      <c r="C6" s="18" t="n">
        <v>5</v>
      </c>
      <c r="D6" s="18" t="n">
        <v>5</v>
      </c>
      <c r="E6" s="18" t="n">
        <v>5</v>
      </c>
      <c r="F6" s="18" t="n">
        <v>4</v>
      </c>
      <c r="G6" s="18" t="n">
        <v>4</v>
      </c>
      <c r="H6" s="18" t="n">
        <v>5</v>
      </c>
      <c r="I6" s="18" t="n">
        <v>5</v>
      </c>
      <c r="J6" s="18" t="n">
        <v>4</v>
      </c>
      <c r="K6" s="19" t="n">
        <f aca="false">AVERAGE(C6,D6,E6,F6,G6,J6)</f>
        <v>4.5</v>
      </c>
      <c r="L6" s="19" t="n">
        <f aca="false">AVERAGE(H6,I6)</f>
        <v>5</v>
      </c>
      <c r="M6" s="20" t="n">
        <f aca="false">SUMPRODUCT($C$5:$J$5,C6:J6)*20</f>
        <v>94.6</v>
      </c>
      <c r="N6" s="19" t="n">
        <f aca="false">K6-L6</f>
        <v>-0.5</v>
      </c>
      <c r="O6" s="21" t="n">
        <f aca="false">RANK(M6,$M$6:$M$13,0)</f>
        <v>1</v>
      </c>
    </row>
    <row r="7" customFormat="false" ht="15" hidden="false" customHeight="false" outlineLevel="0" collapsed="false">
      <c r="A7" s="17" t="s">
        <v>45</v>
      </c>
      <c r="C7" s="18" t="n">
        <v>4</v>
      </c>
      <c r="D7" s="18" t="n">
        <v>3</v>
      </c>
      <c r="E7" s="18" t="n">
        <v>3</v>
      </c>
      <c r="F7" s="18" t="n">
        <v>3</v>
      </c>
      <c r="G7" s="18" t="n">
        <v>5</v>
      </c>
      <c r="H7" s="18" t="n">
        <v>5</v>
      </c>
      <c r="I7" s="18" t="n">
        <v>4</v>
      </c>
      <c r="J7" s="18" t="n">
        <v>5</v>
      </c>
      <c r="K7" s="19" t="n">
        <f aca="false">AVERAGE(C7,D7,E7,F7,G7,J7)</f>
        <v>3.83333333333333</v>
      </c>
      <c r="L7" s="19" t="n">
        <f aca="false">AVERAGE(H7,I7)</f>
        <v>4.5</v>
      </c>
      <c r="M7" s="20" t="n">
        <f aca="false">SUMPRODUCT($C$5:$J$5,C7:J7)*20</f>
        <v>78.2</v>
      </c>
      <c r="N7" s="19" t="n">
        <f aca="false">K7-L7</f>
        <v>-0.666666666666667</v>
      </c>
      <c r="O7" s="21" t="n">
        <f aca="false">RANK(M7,$M$6:$M$13,0)</f>
        <v>3</v>
      </c>
    </row>
    <row r="8" customFormat="false" ht="15" hidden="false" customHeight="false" outlineLevel="0" collapsed="false">
      <c r="A8" s="17" t="s">
        <v>46</v>
      </c>
      <c r="C8" s="18" t="n">
        <v>4</v>
      </c>
      <c r="D8" s="18" t="n">
        <v>5</v>
      </c>
      <c r="E8" s="18" t="n">
        <v>5</v>
      </c>
      <c r="F8" s="18" t="n">
        <v>4</v>
      </c>
      <c r="G8" s="18" t="n">
        <v>3</v>
      </c>
      <c r="H8" s="18" t="n">
        <v>3</v>
      </c>
      <c r="I8" s="18" t="n">
        <v>3</v>
      </c>
      <c r="J8" s="18" t="n">
        <v>4</v>
      </c>
      <c r="K8" s="19" t="n">
        <f aca="false">AVERAGE(C8,D8,E8,F8,G8,J8)</f>
        <v>4.16666666666667</v>
      </c>
      <c r="L8" s="19" t="n">
        <f aca="false">AVERAGE(H8,I8)</f>
        <v>3</v>
      </c>
      <c r="M8" s="20" t="n">
        <f aca="false">SUMPRODUCT($C$5:$J$5,C8:J8)*20</f>
        <v>78.4</v>
      </c>
      <c r="N8" s="19" t="n">
        <f aca="false">K8-L8</f>
        <v>1.16666666666667</v>
      </c>
      <c r="O8" s="21" t="n">
        <f aca="false">RANK(M8,$M$6:$M$13,0)</f>
        <v>2</v>
      </c>
    </row>
    <row r="9" customFormat="false" ht="15" hidden="false" customHeight="false" outlineLevel="0" collapsed="false">
      <c r="A9" s="17" t="s">
        <v>47</v>
      </c>
      <c r="C9" s="18" t="n">
        <v>3</v>
      </c>
      <c r="D9" s="18" t="n">
        <v>4</v>
      </c>
      <c r="E9" s="18" t="n">
        <v>4</v>
      </c>
      <c r="F9" s="18" t="n">
        <v>5</v>
      </c>
      <c r="G9" s="18" t="n">
        <v>3</v>
      </c>
      <c r="H9" s="18" t="n">
        <v>3</v>
      </c>
      <c r="I9" s="18" t="n">
        <v>2</v>
      </c>
      <c r="J9" s="18" t="n">
        <v>4</v>
      </c>
      <c r="K9" s="19" t="n">
        <f aca="false">AVERAGE(C9,D9,E9,F9,G9,J9)</f>
        <v>3.83333333333333</v>
      </c>
      <c r="L9" s="19" t="n">
        <f aca="false">AVERAGE(H9,I9)</f>
        <v>2.5</v>
      </c>
      <c r="M9" s="20" t="n">
        <f aca="false">SUMPRODUCT($C$5:$J$5,C9:J9)*20</f>
        <v>69.8</v>
      </c>
      <c r="N9" s="19" t="n">
        <f aca="false">K9-L9</f>
        <v>1.33333333333333</v>
      </c>
      <c r="O9" s="21" t="n">
        <f aca="false">RANK(M9,$M$6:$M$13,0)</f>
        <v>4</v>
      </c>
    </row>
    <row r="10" customFormat="false" ht="15" hidden="false" customHeight="false" outlineLevel="0" collapsed="false">
      <c r="A10" s="17" t="s">
        <v>48</v>
      </c>
      <c r="C10" s="18" t="n">
        <v>2</v>
      </c>
      <c r="D10" s="18" t="n">
        <v>3</v>
      </c>
      <c r="E10" s="18" t="n">
        <v>3</v>
      </c>
      <c r="F10" s="18" t="n">
        <v>4</v>
      </c>
      <c r="G10" s="18" t="n">
        <v>2</v>
      </c>
      <c r="H10" s="18" t="n">
        <v>1</v>
      </c>
      <c r="I10" s="18" t="n">
        <v>1</v>
      </c>
      <c r="J10" s="18" t="n">
        <v>3</v>
      </c>
      <c r="K10" s="19" t="n">
        <f aca="false">AVERAGE(C10,D10,E10,F10,G10,J10)</f>
        <v>2.83333333333333</v>
      </c>
      <c r="L10" s="19" t="n">
        <f aca="false">AVERAGE(H10,I10)</f>
        <v>1</v>
      </c>
      <c r="M10" s="20" t="n">
        <f aca="false">SUMPRODUCT($C$5:$J$5,C10:J10)*20</f>
        <v>46.2</v>
      </c>
      <c r="N10" s="19" t="n">
        <f aca="false">K10-L10</f>
        <v>1.83333333333333</v>
      </c>
      <c r="O10" s="21" t="n">
        <f aca="false">RANK(M10,$M$6:$M$13,0)</f>
        <v>5</v>
      </c>
    </row>
    <row r="11" customFormat="false" ht="15" hidden="false" customHeight="false" outlineLevel="0" collapsed="false">
      <c r="A11" s="17" t="s">
        <v>49</v>
      </c>
      <c r="C11" s="18" t="n">
        <v>2</v>
      </c>
      <c r="D11" s="18" t="n">
        <v>3</v>
      </c>
      <c r="E11" s="18" t="n">
        <v>2</v>
      </c>
      <c r="F11" s="18" t="n">
        <v>3</v>
      </c>
      <c r="G11" s="18" t="n">
        <v>2</v>
      </c>
      <c r="H11" s="18" t="n">
        <v>1</v>
      </c>
      <c r="I11" s="18" t="n">
        <v>1</v>
      </c>
      <c r="J11" s="18" t="n">
        <v>3</v>
      </c>
      <c r="K11" s="19" t="n">
        <f aca="false">AVERAGE(C11,D11,E11,F11,G11,J11)</f>
        <v>2.5</v>
      </c>
      <c r="L11" s="19" t="n">
        <f aca="false">AVERAGE(H11,I11)</f>
        <v>1</v>
      </c>
      <c r="M11" s="20" t="n">
        <f aca="false">SUMPRODUCT($C$5:$J$5,C11:J11)*20</f>
        <v>40.8</v>
      </c>
      <c r="N11" s="19" t="n">
        <f aca="false">K11-L11</f>
        <v>1.5</v>
      </c>
      <c r="O11" s="21" t="n">
        <f aca="false">RANK(M11,$M$6:$M$13,0)</f>
        <v>6</v>
      </c>
    </row>
    <row r="12" customFormat="false" ht="15" hidden="false" customHeight="false" outlineLevel="0" collapsed="false">
      <c r="A12" s="17" t="s">
        <v>50</v>
      </c>
      <c r="C12" s="18" t="n">
        <v>4</v>
      </c>
      <c r="D12" s="18" t="n">
        <v>1</v>
      </c>
      <c r="E12" s="18" t="n">
        <v>1</v>
      </c>
      <c r="F12" s="18" t="n">
        <v>1</v>
      </c>
      <c r="G12" s="18" t="n">
        <v>3</v>
      </c>
      <c r="H12" s="18" t="n">
        <v>1</v>
      </c>
      <c r="I12" s="18" t="n">
        <v>1</v>
      </c>
      <c r="J12" s="18" t="n">
        <v>2</v>
      </c>
      <c r="K12" s="19" t="n">
        <f aca="false">AVERAGE(C12,D12,E12,F12,G12,J12)</f>
        <v>2</v>
      </c>
      <c r="L12" s="19" t="n">
        <f aca="false">AVERAGE(H12,I12)</f>
        <v>1</v>
      </c>
      <c r="M12" s="20" t="n">
        <f aca="false">SUMPRODUCT($C$5:$J$5,C12:J12)*20</f>
        <v>34</v>
      </c>
      <c r="N12" s="19" t="n">
        <f aca="false">K12-L12</f>
        <v>1</v>
      </c>
      <c r="O12" s="21" t="n">
        <f aca="false">RANK(M12,$M$6:$M$13,0)</f>
        <v>7</v>
      </c>
    </row>
    <row r="13" customFormat="false" ht="15" hidden="false" customHeight="false" outlineLevel="0" collapsed="false">
      <c r="A13" s="17" t="s">
        <v>51</v>
      </c>
      <c r="C13" s="18" t="n">
        <v>1</v>
      </c>
      <c r="D13" s="18" t="n">
        <v>1</v>
      </c>
      <c r="E13" s="18" t="n">
        <v>1</v>
      </c>
      <c r="F13" s="18" t="n">
        <v>4</v>
      </c>
      <c r="G13" s="18" t="n">
        <v>1</v>
      </c>
      <c r="H13" s="18" t="n">
        <v>1</v>
      </c>
      <c r="I13" s="18" t="n">
        <v>1</v>
      </c>
      <c r="J13" s="18" t="n">
        <v>2</v>
      </c>
      <c r="K13" s="19" t="n">
        <f aca="false">AVERAGE(C13,D13,E13,F13,G13,J13)</f>
        <v>1.66666666666667</v>
      </c>
      <c r="L13" s="19" t="n">
        <f aca="false">AVERAGE(H13,I13)</f>
        <v>1</v>
      </c>
      <c r="M13" s="20" t="n">
        <f aca="false">SUMPRODUCT($C$5:$J$5,C13:J13)*20</f>
        <v>28.2</v>
      </c>
      <c r="N13" s="19" t="n">
        <f aca="false">K13-L13</f>
        <v>0.666666666666667</v>
      </c>
      <c r="O13" s="21" t="n">
        <f aca="false">RANK(M13,$M$6:$M$13,0)</f>
        <v>8</v>
      </c>
    </row>
    <row r="15" customFormat="false" ht="15" hidden="false" customHeight="false" outlineLevel="0" collapsed="false">
      <c r="A15" s="22" t="s">
        <v>52</v>
      </c>
    </row>
    <row r="16" customFormat="false" ht="15" hidden="false" customHeight="false" outlineLevel="0" collapsed="false">
      <c r="A16" s="23" t="s">
        <v>53</v>
      </c>
    </row>
  </sheetData>
  <conditionalFormatting sqref="C6:J13">
    <cfRule type="colorScale" priority="2">
      <colorScale>
        <cfvo type="num" val="0"/>
        <cfvo type="num" val="2.5"/>
        <cfvo type="num" val="5"/>
        <color rgb="FF63BE7B"/>
        <color rgb="FFFFEB84"/>
        <color rgb="FFF8696B"/>
      </colorScale>
    </cfRule>
  </conditionalFormatting>
  <conditionalFormatting sqref="M6:M13">
    <cfRule type="colorScale" priority="3">
      <colorScale>
        <cfvo type="min" val="0"/>
        <cfvo type="percentile" val="50"/>
        <cfvo type="max" val="0"/>
        <color rgb="FF63BE7B"/>
        <color rgb="FFFFEB84"/>
        <color rgb="FFF8696B"/>
      </colorScale>
    </cfRule>
  </conditionalFormatting>
  <conditionalFormatting sqref="N6:N13">
    <cfRule type="colorScale" priority="4">
      <colorScale>
        <cfvo type="num" val="-1"/>
        <cfvo type="num" val="0"/>
        <cfvo type="num" val="2"/>
        <color rgb="FF5A8AC6"/>
        <color rgb="FFFFFFFF"/>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8"/>
    <col collapsed="false" customWidth="true" hidden="false" outlineLevel="0" max="6" min="4" style="0" width="14"/>
    <col collapsed="false" customWidth="true" hidden="false" outlineLevel="0" max="7" min="7" style="0" width="16"/>
    <col collapsed="false" customWidth="true" hidden="false" outlineLevel="0" max="10" min="8" style="0" width="14"/>
    <col collapsed="false" customWidth="true" hidden="false" outlineLevel="0" max="11" min="11" style="0" width="18"/>
    <col collapsed="false" customWidth="true" hidden="false" outlineLevel="0" max="12" min="12" style="0" width="10"/>
  </cols>
  <sheetData>
    <row r="1" customFormat="false" ht="15" hidden="false" customHeight="false" outlineLevel="0" collapsed="false">
      <c r="A1" s="8" t="s">
        <v>54</v>
      </c>
    </row>
    <row r="2" customFormat="false" ht="15" hidden="false" customHeight="false" outlineLevel="0" collapsed="false">
      <c r="A2" s="24" t="s">
        <v>55</v>
      </c>
    </row>
    <row r="4" customFormat="false" ht="42" hidden="false" customHeight="true" outlineLevel="0" collapsed="false">
      <c r="A4" s="11" t="s">
        <v>28</v>
      </c>
      <c r="B4" s="11" t="s">
        <v>56</v>
      </c>
      <c r="C4" s="11" t="s">
        <v>57</v>
      </c>
      <c r="D4" s="11" t="s">
        <v>58</v>
      </c>
      <c r="E4" s="11" t="s">
        <v>59</v>
      </c>
      <c r="F4" s="11" t="s">
        <v>60</v>
      </c>
      <c r="G4" s="11" t="s">
        <v>61</v>
      </c>
      <c r="H4" s="11" t="s">
        <v>62</v>
      </c>
      <c r="I4" s="11" t="s">
        <v>63</v>
      </c>
      <c r="K4" s="22" t="s">
        <v>64</v>
      </c>
    </row>
    <row r="5" customFormat="false" ht="15" hidden="false" customHeight="false" outlineLevel="0" collapsed="false">
      <c r="A5" s="25" t="s">
        <v>44</v>
      </c>
      <c r="B5" s="26" t="n">
        <v>440</v>
      </c>
      <c r="C5" s="26" t="n">
        <v>3000</v>
      </c>
      <c r="D5" s="26" t="n">
        <v>12</v>
      </c>
      <c r="E5" s="26" t="n">
        <v>5</v>
      </c>
      <c r="F5" s="26" t="n">
        <v>4</v>
      </c>
      <c r="H5" s="27" t="n">
        <f aca="false">C5*100/B5</f>
        <v>681.818181818182</v>
      </c>
      <c r="I5" s="28" t="n">
        <f aca="false">D5/B5</f>
        <v>0.0272727272727273</v>
      </c>
      <c r="J5" s="21" t="str">
        <f aca="false">IF(AND(H5&gt;=$L$7,E5&gt;=$L$5,F5&gt;=$L$6),"ANOMALY",IF(OR(AND(H5&gt;=$L$7,E5&gt;=$L$5),AND(H5&gt;=$L$7,F5&gt;=$L$6)),"Watch","—"))</f>
        <v>ANOMALY</v>
      </c>
      <c r="K5" s="29" t="s">
        <v>65</v>
      </c>
      <c r="L5" s="30" t="n">
        <v>4</v>
      </c>
    </row>
    <row r="6" customFormat="false" ht="15" hidden="false" customHeight="false" outlineLevel="0" collapsed="false">
      <c r="A6" s="25" t="s">
        <v>45</v>
      </c>
      <c r="B6" s="26" t="n">
        <v>530</v>
      </c>
      <c r="C6" s="26" t="n">
        <v>1200</v>
      </c>
      <c r="D6" s="26" t="n">
        <v>10</v>
      </c>
      <c r="E6" s="26" t="n">
        <v>3</v>
      </c>
      <c r="F6" s="26" t="n">
        <v>4</v>
      </c>
      <c r="H6" s="27" t="n">
        <f aca="false">C6*100/B6</f>
        <v>226.415094339623</v>
      </c>
      <c r="I6" s="28" t="n">
        <f aca="false">D6/B6</f>
        <v>0.0188679245283019</v>
      </c>
      <c r="J6" s="21" t="str">
        <f aca="false">IF(AND(H6&gt;=$L$7,E6&gt;=$L$5,F6&gt;=$L$6),"ANOMALY",IF(OR(AND(H6&gt;=$L$7,E6&gt;=$L$5),AND(H6&gt;=$L$7,F6&gt;=$L$6)),"Watch","—"))</f>
        <v>Watch</v>
      </c>
      <c r="K6" s="29" t="s">
        <v>66</v>
      </c>
      <c r="L6" s="30" t="n">
        <v>4</v>
      </c>
    </row>
    <row r="7" customFormat="false" ht="15" hidden="false" customHeight="false" outlineLevel="0" collapsed="false">
      <c r="A7" s="25" t="s">
        <v>46</v>
      </c>
      <c r="B7" s="26" t="n">
        <v>530</v>
      </c>
      <c r="C7" s="26" t="n">
        <v>1500</v>
      </c>
      <c r="D7" s="26" t="n">
        <v>16</v>
      </c>
      <c r="E7" s="26" t="n">
        <v>5</v>
      </c>
      <c r="F7" s="26" t="n">
        <v>4</v>
      </c>
      <c r="H7" s="27" t="n">
        <f aca="false">C7*100/B7</f>
        <v>283.018867924528</v>
      </c>
      <c r="I7" s="28" t="n">
        <f aca="false">D7/B7</f>
        <v>0.030188679245283</v>
      </c>
      <c r="J7" s="21" t="str">
        <f aca="false">IF(AND(H7&gt;=$L$7,E7&gt;=$L$5,F7&gt;=$L$6),"ANOMALY",IF(OR(AND(H7&gt;=$L$7,E7&gt;=$L$5),AND(H7&gt;=$L$7,F7&gt;=$L$6)),"Watch","—"))</f>
        <v>ANOMALY</v>
      </c>
      <c r="K7" s="29" t="s">
        <v>67</v>
      </c>
      <c r="L7" s="31" t="n">
        <f aca="false">MEDIAN(H5:H11)</f>
        <v>139.86013986014</v>
      </c>
    </row>
    <row r="8" customFormat="false" ht="15" hidden="false" customHeight="false" outlineLevel="0" collapsed="false">
      <c r="A8" s="25" t="s">
        <v>47</v>
      </c>
      <c r="B8" s="26" t="n">
        <v>1430</v>
      </c>
      <c r="C8" s="26" t="n">
        <v>2000</v>
      </c>
      <c r="D8" s="26" t="n">
        <v>15</v>
      </c>
      <c r="E8" s="26" t="n">
        <v>4</v>
      </c>
      <c r="F8" s="26" t="n">
        <v>3</v>
      </c>
      <c r="H8" s="27" t="n">
        <f aca="false">C8*100/B8</f>
        <v>139.86013986014</v>
      </c>
      <c r="I8" s="28" t="n">
        <f aca="false">D8/B8</f>
        <v>0.0104895104895105</v>
      </c>
      <c r="J8" s="21" t="str">
        <f aca="false">IF(AND(H8&gt;=$L$7,E8&gt;=$L$5,F8&gt;=$L$6),"ANOMALY",IF(OR(AND(H8&gt;=$L$7,E8&gt;=$L$5),AND(H8&gt;=$L$7,F8&gt;=$L$6)),"Watch","—"))</f>
        <v>Watch</v>
      </c>
    </row>
    <row r="9" customFormat="false" ht="15" hidden="false" customHeight="false" outlineLevel="0" collapsed="false">
      <c r="A9" s="25" t="s">
        <v>48</v>
      </c>
      <c r="B9" s="26" t="n">
        <v>470</v>
      </c>
      <c r="C9" s="26" t="n">
        <v>400</v>
      </c>
      <c r="D9" s="26" t="n">
        <v>3</v>
      </c>
      <c r="E9" s="26" t="n">
        <v>3</v>
      </c>
      <c r="F9" s="26" t="n">
        <v>3</v>
      </c>
      <c r="H9" s="27" t="n">
        <f aca="false">C9*100/B9</f>
        <v>85.1063829787234</v>
      </c>
      <c r="I9" s="28" t="n">
        <f aca="false">D9/B9</f>
        <v>0.00638297872340426</v>
      </c>
      <c r="J9" s="21" t="str">
        <f aca="false">IF(AND(H9&gt;=$L$7,E9&gt;=$L$5,F9&gt;=$L$6),"ANOMALY",IF(OR(AND(H9&gt;=$L$7,E9&gt;=$L$5),AND(H9&gt;=$L$7,F9&gt;=$L$6)),"Watch","—"))</f>
        <v>—</v>
      </c>
    </row>
    <row r="10" customFormat="false" ht="15" hidden="false" customHeight="false" outlineLevel="0" collapsed="false">
      <c r="A10" s="25" t="s">
        <v>49</v>
      </c>
      <c r="B10" s="26" t="n">
        <v>470</v>
      </c>
      <c r="C10" s="26" t="n">
        <v>400</v>
      </c>
      <c r="D10" s="26" t="n">
        <v>3</v>
      </c>
      <c r="E10" s="26" t="n">
        <v>2</v>
      </c>
      <c r="F10" s="26" t="n">
        <v>3</v>
      </c>
      <c r="H10" s="27" t="n">
        <f aca="false">C10*100/B10</f>
        <v>85.1063829787234</v>
      </c>
      <c r="I10" s="28" t="n">
        <f aca="false">D10/B10</f>
        <v>0.00638297872340426</v>
      </c>
      <c r="J10" s="21" t="str">
        <f aca="false">IF(AND(H10&gt;=$L$7,E10&gt;=$L$5,F10&gt;=$L$6),"ANOMALY",IF(OR(AND(H10&gt;=$L$7,E10&gt;=$L$5),AND(H10&gt;=$L$7,F10&gt;=$L$6)),"Watch","—"))</f>
        <v>—</v>
      </c>
    </row>
    <row r="11" customFormat="false" ht="15" hidden="false" customHeight="false" outlineLevel="0" collapsed="false">
      <c r="A11" s="25" t="s">
        <v>50</v>
      </c>
      <c r="B11" s="26" t="n">
        <v>1750</v>
      </c>
      <c r="C11" s="26" t="n">
        <v>2000</v>
      </c>
      <c r="D11" s="26" t="n">
        <v>25</v>
      </c>
      <c r="E11" s="26" t="n">
        <v>1</v>
      </c>
      <c r="F11" s="26" t="n">
        <v>2</v>
      </c>
      <c r="H11" s="27" t="n">
        <f aca="false">C11*100/B11</f>
        <v>114.285714285714</v>
      </c>
      <c r="I11" s="28" t="n">
        <f aca="false">D11/B11</f>
        <v>0.0142857142857143</v>
      </c>
      <c r="J11" s="21" t="str">
        <f aca="false">IF(AND(H11&gt;=$L$7,E11&gt;=$L$5,F11&gt;=$L$6),"ANOMALY",IF(OR(AND(H11&gt;=$L$7,E11&gt;=$L$5),AND(H11&gt;=$L$7,F11&gt;=$L$6)),"Watch","—"))</f>
        <v>—</v>
      </c>
    </row>
    <row r="13" customFormat="false" ht="15" hidden="false" customHeight="false" outlineLevel="0" collapsed="false">
      <c r="A13" s="22" t="s">
        <v>68</v>
      </c>
    </row>
    <row r="14" customFormat="false" ht="15" hidden="false" customHeight="false" outlineLevel="0" collapsed="false">
      <c r="A14" s="23"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3" min="3" style="0" width="26"/>
    <col collapsed="false" customWidth="true" hidden="false" outlineLevel="0" max="4" min="4" style="0" width="30"/>
    <col collapsed="false" customWidth="true" hidden="false" outlineLevel="0" max="5" min="5" style="0" width="18"/>
    <col collapsed="false" customWidth="true" hidden="false" outlineLevel="0" max="6" min="6" style="0" width="22"/>
    <col collapsed="false" customWidth="true" hidden="false" outlineLevel="0" max="7" min="7" style="0" width="30"/>
  </cols>
  <sheetData>
    <row r="1" customFormat="false" ht="15" hidden="false" customHeight="false" outlineLevel="0" collapsed="false">
      <c r="A1" s="8" t="s">
        <v>70</v>
      </c>
    </row>
    <row r="2" customFormat="false" ht="15" hidden="false" customHeight="false" outlineLevel="0" collapsed="false">
      <c r="A2" s="24" t="s">
        <v>71</v>
      </c>
    </row>
    <row r="4" customFormat="false" ht="15" hidden="false" customHeight="false" outlineLevel="0" collapsed="false">
      <c r="A4" s="32" t="s">
        <v>72</v>
      </c>
      <c r="B4" s="32" t="s">
        <v>73</v>
      </c>
      <c r="C4" s="32" t="s">
        <v>74</v>
      </c>
      <c r="D4" s="32" t="s">
        <v>75</v>
      </c>
      <c r="E4" s="32" t="s">
        <v>76</v>
      </c>
      <c r="F4" s="32" t="s">
        <v>77</v>
      </c>
      <c r="G4" s="32" t="s">
        <v>78</v>
      </c>
    </row>
    <row r="5" customFormat="false" ht="15" hidden="false" customHeight="false" outlineLevel="0" collapsed="false">
      <c r="A5" s="33" t="s">
        <v>79</v>
      </c>
      <c r="B5" s="33" t="s">
        <v>80</v>
      </c>
      <c r="C5" s="33" t="s">
        <v>81</v>
      </c>
      <c r="D5" s="33" t="s">
        <v>82</v>
      </c>
      <c r="E5" s="33" t="s">
        <v>83</v>
      </c>
      <c r="F5" s="33" t="s">
        <v>84</v>
      </c>
      <c r="G5" s="33" t="s">
        <v>85</v>
      </c>
    </row>
    <row r="6" customFormat="false" ht="22.35" hidden="false" customHeight="false" outlineLevel="0" collapsed="false">
      <c r="A6" s="33" t="s">
        <v>86</v>
      </c>
      <c r="B6" s="33" t="s">
        <v>87</v>
      </c>
      <c r="C6" s="33" t="s">
        <v>88</v>
      </c>
      <c r="D6" s="33" t="s">
        <v>89</v>
      </c>
      <c r="E6" s="33" t="s">
        <v>90</v>
      </c>
      <c r="F6" s="33" t="s">
        <v>91</v>
      </c>
      <c r="G6" s="33" t="s">
        <v>92</v>
      </c>
    </row>
    <row r="7" customFormat="false" ht="15" hidden="false" customHeight="false" outlineLevel="0" collapsed="false">
      <c r="A7" s="33" t="s">
        <v>93</v>
      </c>
      <c r="B7" s="33" t="s">
        <v>45</v>
      </c>
      <c r="C7" s="33" t="s">
        <v>94</v>
      </c>
      <c r="D7" s="33" t="s">
        <v>95</v>
      </c>
      <c r="E7" s="33" t="s">
        <v>96</v>
      </c>
      <c r="F7" s="33" t="s">
        <v>97</v>
      </c>
      <c r="G7" s="33" t="s">
        <v>98</v>
      </c>
    </row>
    <row r="8" customFormat="false" ht="15" hidden="false" customHeight="false" outlineLevel="0" collapsed="false">
      <c r="A8" s="33" t="s">
        <v>99</v>
      </c>
      <c r="B8" s="33" t="s">
        <v>100</v>
      </c>
      <c r="C8" s="33" t="s">
        <v>101</v>
      </c>
      <c r="D8" s="33" t="s">
        <v>89</v>
      </c>
      <c r="E8" s="33" t="s">
        <v>102</v>
      </c>
      <c r="F8" s="33" t="s">
        <v>103</v>
      </c>
      <c r="G8" s="33" t="s">
        <v>104</v>
      </c>
    </row>
    <row r="9" customFormat="false" ht="15" hidden="false" customHeight="false" outlineLevel="0" collapsed="false">
      <c r="A9" s="34" t="s">
        <v>105</v>
      </c>
      <c r="B9" s="34" t="s">
        <v>44</v>
      </c>
      <c r="C9" s="34" t="s">
        <v>106</v>
      </c>
      <c r="D9" s="34" t="s">
        <v>107</v>
      </c>
      <c r="E9" s="34" t="s">
        <v>108</v>
      </c>
      <c r="F9" s="34" t="s">
        <v>109</v>
      </c>
      <c r="G9" s="34" t="s">
        <v>110</v>
      </c>
    </row>
    <row r="10" customFormat="false" ht="22.35" hidden="false" customHeight="false" outlineLevel="0" collapsed="false">
      <c r="A10" s="33" t="s">
        <v>111</v>
      </c>
      <c r="B10" s="33" t="s">
        <v>112</v>
      </c>
      <c r="C10" s="33" t="s">
        <v>113</v>
      </c>
      <c r="D10" s="33" t="s">
        <v>114</v>
      </c>
      <c r="E10" s="33" t="s">
        <v>115</v>
      </c>
      <c r="F10" s="33" t="s">
        <v>116</v>
      </c>
      <c r="G10" s="33" t="s">
        <v>117</v>
      </c>
    </row>
    <row r="11" customFormat="false" ht="15" hidden="false" customHeight="false" outlineLevel="0" collapsed="false">
      <c r="A11" s="33" t="s">
        <v>118</v>
      </c>
      <c r="B11" s="33" t="s">
        <v>119</v>
      </c>
      <c r="C11" s="33" t="s">
        <v>120</v>
      </c>
      <c r="D11" s="33" t="s">
        <v>89</v>
      </c>
      <c r="E11" s="33" t="s">
        <v>121</v>
      </c>
      <c r="F11" s="33" t="s">
        <v>122</v>
      </c>
      <c r="G11" s="33" t="s">
        <v>123</v>
      </c>
    </row>
    <row r="12" customFormat="false" ht="15" hidden="false" customHeight="false" outlineLevel="0" collapsed="false">
      <c r="A12" s="33" t="s">
        <v>124</v>
      </c>
      <c r="B12" s="33" t="s">
        <v>125</v>
      </c>
      <c r="C12" s="33" t="s">
        <v>126</v>
      </c>
      <c r="D12" s="33" t="s">
        <v>127</v>
      </c>
      <c r="E12" s="33" t="s">
        <v>128</v>
      </c>
      <c r="F12" s="33" t="s">
        <v>129</v>
      </c>
      <c r="G12" s="33" t="s">
        <v>130</v>
      </c>
    </row>
    <row r="13" customFormat="false" ht="15" hidden="false" customHeight="false" outlineLevel="0" collapsed="false">
      <c r="A13" s="33" t="s">
        <v>124</v>
      </c>
      <c r="B13" s="33" t="s">
        <v>112</v>
      </c>
      <c r="C13" s="33" t="s">
        <v>131</v>
      </c>
      <c r="D13" s="33" t="s">
        <v>132</v>
      </c>
      <c r="E13" s="33" t="s">
        <v>133</v>
      </c>
      <c r="F13" s="33" t="s">
        <v>134</v>
      </c>
      <c r="G13" s="33" t="s">
        <v>135</v>
      </c>
    </row>
    <row r="14" customFormat="false" ht="15" hidden="false" customHeight="false" outlineLevel="0" collapsed="false">
      <c r="A14" s="34" t="s">
        <v>136</v>
      </c>
      <c r="B14" s="34" t="s">
        <v>137</v>
      </c>
      <c r="C14" s="34" t="s">
        <v>138</v>
      </c>
      <c r="D14" s="34" t="s">
        <v>139</v>
      </c>
      <c r="E14" s="34" t="s">
        <v>108</v>
      </c>
      <c r="F14" s="34" t="s">
        <v>140</v>
      </c>
      <c r="G14" s="34" t="s">
        <v>141</v>
      </c>
    </row>
    <row r="15" customFormat="false" ht="15" hidden="false" customHeight="false" outlineLevel="0" collapsed="false">
      <c r="A15" s="34" t="s">
        <v>142</v>
      </c>
      <c r="B15" s="34" t="s">
        <v>137</v>
      </c>
      <c r="C15" s="34" t="s">
        <v>143</v>
      </c>
      <c r="D15" s="34" t="s">
        <v>144</v>
      </c>
      <c r="E15" s="34" t="s">
        <v>108</v>
      </c>
      <c r="F15" s="34" t="s">
        <v>145</v>
      </c>
      <c r="G15" s="34" t="s">
        <v>146</v>
      </c>
    </row>
    <row r="16" customFormat="false" ht="15" hidden="false" customHeight="false" outlineLevel="0" collapsed="false">
      <c r="A16" s="33" t="s">
        <v>147</v>
      </c>
      <c r="B16" s="33" t="s">
        <v>148</v>
      </c>
      <c r="C16" s="33" t="s">
        <v>149</v>
      </c>
      <c r="D16" s="33" t="s">
        <v>150</v>
      </c>
      <c r="E16" s="33" t="s">
        <v>151</v>
      </c>
      <c r="F16" s="33" t="s">
        <v>152</v>
      </c>
      <c r="G16" s="33" t="s">
        <v>153</v>
      </c>
    </row>
    <row r="17" customFormat="false" ht="15" hidden="false" customHeight="false" outlineLevel="0" collapsed="false">
      <c r="A17" s="33" t="s">
        <v>154</v>
      </c>
      <c r="B17" s="33" t="s">
        <v>155</v>
      </c>
      <c r="C17" s="33" t="s">
        <v>156</v>
      </c>
      <c r="D17" s="33" t="s">
        <v>157</v>
      </c>
      <c r="E17" s="33" t="s">
        <v>158</v>
      </c>
      <c r="F17" s="33" t="s">
        <v>91</v>
      </c>
      <c r="G17" s="33" t="s">
        <v>159</v>
      </c>
    </row>
    <row r="18" customFormat="false" ht="15" hidden="false" customHeight="false" outlineLevel="0" collapsed="false">
      <c r="A18" s="33" t="s">
        <v>160</v>
      </c>
      <c r="B18" s="33" t="s">
        <v>161</v>
      </c>
      <c r="C18" s="33" t="s">
        <v>162</v>
      </c>
      <c r="D18" s="33" t="s">
        <v>89</v>
      </c>
      <c r="E18" s="33" t="s">
        <v>163</v>
      </c>
      <c r="F18" s="33" t="s">
        <v>91</v>
      </c>
      <c r="G18" s="33" t="s">
        <v>164</v>
      </c>
    </row>
    <row r="19" customFormat="false" ht="15" hidden="false" customHeight="false" outlineLevel="0" collapsed="false">
      <c r="A19" s="33" t="s">
        <v>165</v>
      </c>
      <c r="B19" s="33" t="s">
        <v>166</v>
      </c>
      <c r="C19" s="33" t="s">
        <v>167</v>
      </c>
      <c r="D19" s="33" t="s">
        <v>89</v>
      </c>
      <c r="E19" s="33" t="s">
        <v>168</v>
      </c>
      <c r="F19" s="33" t="s">
        <v>169</v>
      </c>
      <c r="G19" s="33" t="s">
        <v>170</v>
      </c>
    </row>
    <row r="20" customFormat="false" ht="15" hidden="false" customHeight="false" outlineLevel="0" collapsed="false">
      <c r="A20" s="34" t="s">
        <v>171</v>
      </c>
      <c r="B20" s="34" t="s">
        <v>137</v>
      </c>
      <c r="C20" s="34" t="s">
        <v>172</v>
      </c>
      <c r="D20" s="34" t="s">
        <v>173</v>
      </c>
      <c r="E20" s="34" t="s">
        <v>108</v>
      </c>
      <c r="F20" s="34" t="s">
        <v>174</v>
      </c>
      <c r="G20" s="34" t="s">
        <v>175</v>
      </c>
    </row>
    <row r="21" customFormat="false" ht="15" hidden="false" customHeight="false" outlineLevel="0" collapsed="false">
      <c r="A21" s="33" t="s">
        <v>176</v>
      </c>
      <c r="B21" s="33" t="s">
        <v>45</v>
      </c>
      <c r="C21" s="33" t="s">
        <v>177</v>
      </c>
      <c r="D21" s="33" t="s">
        <v>95</v>
      </c>
      <c r="E21" s="33" t="s">
        <v>178</v>
      </c>
      <c r="F21" s="33" t="s">
        <v>179</v>
      </c>
      <c r="G21" s="33" t="s">
        <v>180</v>
      </c>
    </row>
    <row r="22" customFormat="false" ht="15" hidden="false" customHeight="false" outlineLevel="0" collapsed="false">
      <c r="A22" s="33" t="s">
        <v>176</v>
      </c>
      <c r="B22" s="33" t="s">
        <v>44</v>
      </c>
      <c r="C22" s="33" t="s">
        <v>181</v>
      </c>
      <c r="D22" s="33" t="s">
        <v>182</v>
      </c>
      <c r="E22" s="33" t="s">
        <v>183</v>
      </c>
      <c r="F22" s="33" t="s">
        <v>184</v>
      </c>
      <c r="G22" s="33" t="s">
        <v>185</v>
      </c>
    </row>
    <row r="23" customFormat="false" ht="15" hidden="false" customHeight="false" outlineLevel="0" collapsed="false">
      <c r="A23" s="34" t="s">
        <v>186</v>
      </c>
      <c r="B23" s="34" t="s">
        <v>137</v>
      </c>
      <c r="C23" s="34" t="s">
        <v>187</v>
      </c>
      <c r="D23" s="34" t="s">
        <v>188</v>
      </c>
      <c r="E23" s="34" t="s">
        <v>108</v>
      </c>
      <c r="F23" s="34" t="s">
        <v>189</v>
      </c>
      <c r="G23" s="34" t="s">
        <v>190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3" min="3" style="0" width="16"/>
    <col collapsed="false" customWidth="true" hidden="false" outlineLevel="0" max="4" min="4" style="0" width="52"/>
    <col collapsed="false" customWidth="true" hidden="false" outlineLevel="0" max="5" min="5" style="0" width="26"/>
  </cols>
  <sheetData>
    <row r="1" customFormat="false" ht="15" hidden="false" customHeight="false" outlineLevel="0" collapsed="false">
      <c r="A1" s="8" t="s">
        <v>191</v>
      </c>
    </row>
    <row r="2" customFormat="false" ht="15" hidden="false" customHeight="false" outlineLevel="0" collapsed="false">
      <c r="A2" s="23" t="s">
        <v>192</v>
      </c>
    </row>
    <row r="4" customFormat="false" ht="15" hidden="false" customHeight="false" outlineLevel="0" collapsed="false">
      <c r="A4" s="32" t="s">
        <v>193</v>
      </c>
      <c r="B4" s="32" t="s">
        <v>194</v>
      </c>
      <c r="C4" s="32" t="s">
        <v>72</v>
      </c>
      <c r="D4" s="32" t="s">
        <v>195</v>
      </c>
      <c r="E4" s="32" t="s">
        <v>196</v>
      </c>
    </row>
    <row r="5" customFormat="false" ht="22.35" hidden="false" customHeight="false" outlineLevel="0" collapsed="false">
      <c r="A5" s="33" t="n">
        <v>1</v>
      </c>
      <c r="B5" s="33" t="s">
        <v>197</v>
      </c>
      <c r="C5" s="33" t="s">
        <v>111</v>
      </c>
      <c r="D5" s="33" t="s">
        <v>198</v>
      </c>
      <c r="E5" s="33" t="s">
        <v>199</v>
      </c>
    </row>
    <row r="6" customFormat="false" ht="15" hidden="false" customHeight="false" outlineLevel="0" collapsed="false">
      <c r="A6" s="33" t="n">
        <v>2</v>
      </c>
      <c r="B6" s="33" t="s">
        <v>200</v>
      </c>
      <c r="C6" s="33" t="s">
        <v>124</v>
      </c>
      <c r="D6" s="33" t="s">
        <v>201</v>
      </c>
      <c r="E6" s="33" t="s">
        <v>199</v>
      </c>
    </row>
    <row r="7" customFormat="false" ht="15" hidden="false" customHeight="false" outlineLevel="0" collapsed="false">
      <c r="A7" s="33" t="n">
        <v>3</v>
      </c>
      <c r="B7" s="33" t="s">
        <v>202</v>
      </c>
      <c r="C7" s="33" t="s">
        <v>203</v>
      </c>
      <c r="D7" s="33" t="s">
        <v>204</v>
      </c>
      <c r="E7" s="33" t="s">
        <v>199</v>
      </c>
    </row>
    <row r="8" customFormat="false" ht="22.35" hidden="false" customHeight="false" outlineLevel="0" collapsed="false">
      <c r="A8" s="33" t="n">
        <v>4</v>
      </c>
      <c r="B8" s="33" t="s">
        <v>205</v>
      </c>
      <c r="C8" s="33" t="s">
        <v>206</v>
      </c>
      <c r="D8" s="33" t="s">
        <v>207</v>
      </c>
      <c r="E8" s="33" t="s">
        <v>208</v>
      </c>
    </row>
    <row r="9" customFormat="false" ht="15" hidden="false" customHeight="false" outlineLevel="0" collapsed="false">
      <c r="A9" s="33" t="n">
        <v>5</v>
      </c>
      <c r="B9" s="33" t="s">
        <v>209</v>
      </c>
      <c r="C9" s="33" t="s">
        <v>210</v>
      </c>
      <c r="D9" s="33" t="s">
        <v>211</v>
      </c>
      <c r="E9" s="33" t="s">
        <v>199</v>
      </c>
    </row>
    <row r="10" customFormat="false" ht="22.35" hidden="false" customHeight="false" outlineLevel="0" collapsed="false">
      <c r="A10" s="33" t="n">
        <v>6</v>
      </c>
      <c r="B10" s="33" t="s">
        <v>212</v>
      </c>
      <c r="C10" s="33" t="s">
        <v>213</v>
      </c>
      <c r="D10" s="33" t="s">
        <v>214</v>
      </c>
      <c r="E10" s="33" t="s">
        <v>215</v>
      </c>
    </row>
    <row r="11" customFormat="false" ht="22.35" hidden="false" customHeight="false" outlineLevel="0" collapsed="false">
      <c r="A11" s="33" t="n">
        <v>7</v>
      </c>
      <c r="B11" s="33" t="s">
        <v>216</v>
      </c>
      <c r="C11" s="33" t="s">
        <v>217</v>
      </c>
      <c r="D11" s="33" t="s">
        <v>218</v>
      </c>
      <c r="E11" s="33" t="s">
        <v>219</v>
      </c>
    </row>
    <row r="12" customFormat="false" ht="22.35" hidden="false" customHeight="false" outlineLevel="0" collapsed="false">
      <c r="A12" s="33" t="n">
        <v>8</v>
      </c>
      <c r="B12" s="33" t="s">
        <v>220</v>
      </c>
      <c r="C12" s="33" t="s">
        <v>221</v>
      </c>
      <c r="D12" s="33" t="s">
        <v>222</v>
      </c>
      <c r="E12" s="33" t="s">
        <v>223</v>
      </c>
    </row>
    <row r="13" customFormat="false" ht="22.35" hidden="false" customHeight="false" outlineLevel="0" collapsed="false">
      <c r="A13" s="33" t="n">
        <v>9</v>
      </c>
      <c r="B13" s="33" t="s">
        <v>224</v>
      </c>
      <c r="C13" s="33" t="s">
        <v>225</v>
      </c>
      <c r="D13" s="33" t="s">
        <v>226</v>
      </c>
      <c r="E13" s="33" t="s">
        <v>227</v>
      </c>
    </row>
    <row r="14" customFormat="false" ht="22.35" hidden="false" customHeight="false" outlineLevel="0" collapsed="false">
      <c r="A14" s="33" t="n">
        <v>10</v>
      </c>
      <c r="B14" s="33" t="s">
        <v>228</v>
      </c>
      <c r="C14" s="33" t="s">
        <v>229</v>
      </c>
      <c r="D14" s="33" t="s">
        <v>230</v>
      </c>
      <c r="E14" s="33" t="s">
        <v>231</v>
      </c>
    </row>
    <row r="15" customFormat="false" ht="15" hidden="false" customHeight="false" outlineLevel="0" collapsed="false">
      <c r="A15" s="33" t="n">
        <v>11</v>
      </c>
      <c r="B15" s="33" t="s">
        <v>232</v>
      </c>
      <c r="C15" s="33" t="s">
        <v>233</v>
      </c>
      <c r="D15" s="33" t="s">
        <v>234</v>
      </c>
      <c r="E15" s="33" t="s">
        <v>235</v>
      </c>
    </row>
    <row r="16" customFormat="false" ht="22.35" hidden="false" customHeight="false" outlineLevel="0" collapsed="false">
      <c r="A16" s="33" t="n">
        <v>12</v>
      </c>
      <c r="B16" s="33" t="s">
        <v>236</v>
      </c>
      <c r="C16" s="33" t="s">
        <v>210</v>
      </c>
      <c r="D16" s="33" t="s">
        <v>237</v>
      </c>
      <c r="E16" s="33" t="s">
        <v>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2026-06-22T11:33:07Z</dcterms:created>
  <dc:creator>openpyxl</dc:creator>
  <dc:description/>
  <dc:language>en-US</dc:language>
  <cp:lastModifiedBy/>
  <dcterms:modified xsi:type="dcterms:W3CDTF">2026-06-22T11:33:17Z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